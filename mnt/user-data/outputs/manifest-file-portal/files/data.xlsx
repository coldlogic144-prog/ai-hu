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680" activeTab="3"/>
  </bookViews>
  <sheets>
    <sheet name="Sheet1" sheetId="1" r:id="rId1"/>
    <sheet name="Sheet2" sheetId="2" r:id="rId2"/>
    <sheet name="Sheet3" sheetId="3" r:id="rId3"/>
    <sheet name="Sheet4" sheetId="4" r:id="rId4"/>
  </sheets>
  <calcPr calcId="124519"/>
</workbook>
</file>

<file path=xl/calcChain.xml><?xml version="1.0" encoding="utf-8"?>
<calcChain xmlns="http://schemas.openxmlformats.org/spreadsheetml/2006/main">
  <c r="B35" i="4"/>
  <c r="D34"/>
  <c r="E27"/>
  <c r="F27"/>
  <c r="D32"/>
  <c r="D30"/>
  <c r="D31"/>
  <c r="C27"/>
  <c r="D27"/>
  <c r="G27"/>
  <c r="D29"/>
  <c r="G15"/>
  <c r="G11"/>
  <c r="E15"/>
  <c r="E11"/>
  <c r="E7" l="1"/>
  <c r="E7" i="3"/>
  <c r="E7" i="2"/>
</calcChain>
</file>

<file path=xl/sharedStrings.xml><?xml version="1.0" encoding="utf-8"?>
<sst xmlns="http://schemas.openxmlformats.org/spreadsheetml/2006/main" count="236" uniqueCount="52">
  <si>
    <t>eq[;eU=h y?kq flapkbZ ;kstuk ¼ xgjs uydwi½ dk ys[kk</t>
  </si>
  <si>
    <t>ykHkkFkhZ dk uke Jh@Jh erh&amp;</t>
  </si>
  <si>
    <t xml:space="preserve">firk@ifr dk uke&amp; </t>
  </si>
  <si>
    <t xml:space="preserve"> xzke&amp;</t>
  </si>
  <si>
    <t>fodkl [k.M&amp;</t>
  </si>
  <si>
    <t>tuin &amp;</t>
  </si>
  <si>
    <t>jkeiqj</t>
  </si>
  <si>
    <t>tkfr&amp;</t>
  </si>
  <si>
    <t>lkekU;</t>
  </si>
  <si>
    <t>[kljk ua0</t>
  </si>
  <si>
    <t>d`"kd }kjk tek dh xbZ /kujkf'k</t>
  </si>
  <si>
    <t>dz0 la0</t>
  </si>
  <si>
    <t>en dk uke</t>
  </si>
  <si>
    <t>foHkkxh; O;;</t>
  </si>
  <si>
    <t>d`"kd }kjk O;;</t>
  </si>
  <si>
    <t>dqy O;;</t>
  </si>
  <si>
    <t xml:space="preserve"> vf/kdre vuqeU; O;;</t>
  </si>
  <si>
    <t>ns; vuqnku</t>
  </si>
  <si>
    <t>ek0iq0@i`0la0</t>
  </si>
  <si>
    <t>cksfjx dk;Z</t>
  </si>
  <si>
    <t>v&amp; foHkkxh; O;;</t>
  </si>
  <si>
    <t>c&amp;dUVhtsUlh</t>
  </si>
  <si>
    <t xml:space="preserve">                                                                                   </t>
  </si>
  <si>
    <t>;ksx&amp;</t>
  </si>
  <si>
    <t>lcefZloy iEi lSV</t>
  </si>
  <si>
    <t>-</t>
  </si>
  <si>
    <t xml:space="preserve"> gkml o fMyhojh Vsad ds fuek.kZ vkfn</t>
  </si>
  <si>
    <t>fo/kqrhdj.k ij O;;</t>
  </si>
  <si>
    <t>ikbZi ykbZu@xwy fuek.kZ</t>
  </si>
  <si>
    <t>d`"kd }kjk tek /kujkf'k&amp;</t>
  </si>
  <si>
    <t>d`"kd dks ns; vuqnku&amp;</t>
  </si>
  <si>
    <t>foHkkxh; O;; ¼&amp;½</t>
  </si>
  <si>
    <t>d`"kd dks okil gksus okyh /kujkf'k&amp;</t>
  </si>
  <si>
    <t xml:space="preserve">izekf.kr fd;k tkrk gS fd d`"kd dk e/;e@xgjk cksfjax iw.kZ gks x;k gS tks lQyrk iwoZd dk;Z dj jgk gS d`"kd dk </t>
  </si>
  <si>
    <r>
      <t xml:space="preserve">ns; vuqnku ,oa tek /kujkf'k ds ;ksx </t>
    </r>
    <r>
      <rPr>
        <sz val="16"/>
        <color theme="1"/>
        <rFont val="Kruti Dev 045"/>
      </rPr>
      <t>:</t>
    </r>
    <r>
      <rPr>
        <sz val="16"/>
        <color theme="1"/>
        <rFont val="Kruti Dev 010"/>
      </rPr>
      <t>0</t>
    </r>
  </si>
  <si>
    <t xml:space="preserve">esa ls foHkkxh; O;;@[kpkZ :0 </t>
  </si>
  <si>
    <t>dkV dj</t>
  </si>
  <si>
    <t>:0</t>
  </si>
  <si>
    <t>okil djus dh laLrqfr dh tkrh gSA</t>
  </si>
  <si>
    <t xml:space="preserve">eki iqfLrdk la[;k </t>
  </si>
  <si>
    <t>i`"B ls[;k</t>
  </si>
  <si>
    <t>ओकार सिंह</t>
  </si>
  <si>
    <t>बघेल सिंह</t>
  </si>
  <si>
    <t>चोखंडी</t>
  </si>
  <si>
    <t>स्वार</t>
  </si>
  <si>
    <t xml:space="preserve">अत्ता हुसैन </t>
  </si>
  <si>
    <t xml:space="preserve">फ़िदा हुसैन </t>
  </si>
  <si>
    <t>मोहम्द नईम</t>
  </si>
  <si>
    <t>गुलाम अली</t>
  </si>
  <si>
    <t xml:space="preserve">इरफ़ान अली </t>
  </si>
  <si>
    <t>आले हसन</t>
  </si>
  <si>
    <t>इमरता राय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</si>
</sst>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Kruti Dev 010"/>
    </font>
    <font>
      <sz val="16"/>
      <color theme="1"/>
      <name val="Kruti Dev 010"/>
    </font>
    <font>
      <sz val="16"/>
      <color theme="1"/>
      <name val="Calibri"/>
      <family val="2"/>
      <scheme val="minor"/>
    </font>
    <font>
      <sz val="16"/>
      <color theme="1"/>
      <name val="Arial"/>
      <family val="2"/>
    </font>
    <font>
      <sz val="16"/>
      <color theme="1"/>
      <name val="Kruti Dev 045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/>
    </xf>
    <xf numFmtId="0" fontId="3" fillId="0" borderId="5" xfId="0" applyFont="1" applyBorder="1"/>
    <xf numFmtId="0" fontId="3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3" fillId="0" borderId="4" xfId="0" applyFont="1" applyBorder="1" applyAlignment="1">
      <alignment vertical="top" wrapText="1"/>
    </xf>
    <xf numFmtId="0" fontId="3" fillId="0" borderId="8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4" xfId="0" applyFont="1" applyBorder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wrapText="1"/>
    </xf>
    <xf numFmtId="2" fontId="4" fillId="0" borderId="1" xfId="0" applyNumberFormat="1" applyFont="1" applyBorder="1" applyAlignment="1">
      <alignment horizontal="right"/>
    </xf>
    <xf numFmtId="2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2" fontId="4" fillId="0" borderId="0" xfId="0" applyNumberFormat="1" applyFont="1" applyAlignment="1">
      <alignment horizontal="right"/>
    </xf>
    <xf numFmtId="2" fontId="4" fillId="0" borderId="0" xfId="0" applyNumberFormat="1" applyFont="1"/>
    <xf numFmtId="2" fontId="4" fillId="0" borderId="0" xfId="0" applyNumberFormat="1" applyFont="1" applyAlignment="1">
      <alignment horizontal="left"/>
    </xf>
    <xf numFmtId="0" fontId="3" fillId="0" borderId="7" xfId="0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/>
    </xf>
    <xf numFmtId="2" fontId="1" fillId="0" borderId="0" xfId="0" applyNumberFormat="1" applyFont="1"/>
    <xf numFmtId="2" fontId="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vertical="top"/>
    </xf>
    <xf numFmtId="0" fontId="5" fillId="0" borderId="0" xfId="0" applyFont="1"/>
    <xf numFmtId="0" fontId="3" fillId="0" borderId="6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2" fontId="4" fillId="0" borderId="1" xfId="0" applyNumberFormat="1" applyFont="1" applyBorder="1" applyAlignment="1">
      <alignment horizontal="center" vertical="top"/>
    </xf>
    <xf numFmtId="2" fontId="4" fillId="0" borderId="4" xfId="0" applyNumberFormat="1" applyFont="1" applyBorder="1" applyAlignment="1">
      <alignment vertical="center"/>
    </xf>
    <xf numFmtId="2" fontId="4" fillId="0" borderId="7" xfId="0" applyNumberFormat="1" applyFont="1" applyBorder="1" applyAlignment="1">
      <alignment vertical="center"/>
    </xf>
    <xf numFmtId="2" fontId="4" fillId="0" borderId="3" xfId="0" applyNumberFormat="1" applyFont="1" applyBorder="1" applyAlignment="1">
      <alignment vertical="center"/>
    </xf>
    <xf numFmtId="2" fontId="4" fillId="0" borderId="4" xfId="0" applyNumberFormat="1" applyFont="1" applyBorder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topLeftCell="A12" workbookViewId="0">
      <selection activeCell="D15" sqref="D15:D18"/>
    </sheetView>
  </sheetViews>
  <sheetFormatPr defaultRowHeight="15"/>
  <cols>
    <col min="2" max="2" width="13" bestFit="1" customWidth="1"/>
    <col min="3" max="3" width="14.7109375" bestFit="1" customWidth="1"/>
    <col min="4" max="4" width="15.140625" customWidth="1"/>
    <col min="5" max="5" width="18.28515625" customWidth="1"/>
    <col min="6" max="7" width="14.7109375" bestFit="1" customWidth="1"/>
  </cols>
  <sheetData>
    <row r="1" spans="1:16" ht="20.25">
      <c r="A1" s="38" t="s">
        <v>0</v>
      </c>
      <c r="B1" s="38"/>
      <c r="C1" s="38"/>
      <c r="D1" s="38"/>
      <c r="E1" s="38"/>
      <c r="F1" s="38"/>
      <c r="G1" s="38"/>
      <c r="H1" s="38"/>
      <c r="I1" s="1"/>
      <c r="J1" s="1"/>
      <c r="K1" s="1"/>
      <c r="L1" s="1"/>
      <c r="M1" s="1"/>
      <c r="N1" s="1"/>
      <c r="O1" s="1"/>
      <c r="P1" s="1"/>
    </row>
    <row r="2" spans="1:16" ht="21">
      <c r="A2" s="3" t="s">
        <v>1</v>
      </c>
      <c r="B2" s="3"/>
      <c r="C2" s="3" t="s">
        <v>41</v>
      </c>
      <c r="D2" s="3" t="s">
        <v>2</v>
      </c>
      <c r="E2" s="4"/>
      <c r="F2" s="3" t="s">
        <v>42</v>
      </c>
      <c r="G2" s="3"/>
      <c r="H2" s="4"/>
      <c r="I2" s="1"/>
      <c r="J2" s="1"/>
      <c r="K2" s="1"/>
      <c r="L2" s="1"/>
      <c r="M2" s="1"/>
      <c r="N2" s="1"/>
      <c r="O2" s="1"/>
      <c r="P2" s="1"/>
    </row>
    <row r="3" spans="1:16" ht="40.5">
      <c r="A3" s="5" t="s">
        <v>3</v>
      </c>
      <c r="B3" s="5" t="s">
        <v>43</v>
      </c>
      <c r="C3" s="6" t="s">
        <v>4</v>
      </c>
      <c r="D3" s="5" t="s">
        <v>44</v>
      </c>
      <c r="E3" s="5" t="s">
        <v>5</v>
      </c>
      <c r="F3" s="39" t="s">
        <v>6</v>
      </c>
      <c r="G3" s="39"/>
      <c r="H3" s="4"/>
      <c r="I3" s="1"/>
      <c r="J3" s="1"/>
      <c r="K3" s="1"/>
      <c r="L3" s="1"/>
      <c r="M3" s="1"/>
      <c r="N3" s="1"/>
      <c r="O3" s="1"/>
      <c r="P3" s="1"/>
    </row>
    <row r="4" spans="1:16" ht="21">
      <c r="A4" s="3" t="s">
        <v>7</v>
      </c>
      <c r="B4" s="3" t="s">
        <v>8</v>
      </c>
      <c r="C4" s="7" t="s">
        <v>9</v>
      </c>
      <c r="D4" s="4">
        <v>165</v>
      </c>
      <c r="E4" s="4"/>
      <c r="F4" s="40"/>
      <c r="G4" s="40"/>
      <c r="H4" s="4"/>
      <c r="I4" s="1"/>
      <c r="J4" s="1"/>
      <c r="K4" s="1"/>
      <c r="L4" s="1"/>
      <c r="M4" s="1"/>
      <c r="N4" s="1"/>
      <c r="O4" s="1"/>
      <c r="P4" s="1"/>
    </row>
    <row r="5" spans="1:16" ht="21">
      <c r="A5" s="41" t="s">
        <v>10</v>
      </c>
      <c r="B5" s="42"/>
      <c r="C5" s="28">
        <v>130000</v>
      </c>
      <c r="D5" s="4"/>
      <c r="E5" s="4"/>
      <c r="F5" s="8"/>
      <c r="G5" s="8"/>
      <c r="H5" s="4"/>
      <c r="I5" s="1"/>
      <c r="J5" s="1"/>
      <c r="K5" s="1"/>
      <c r="L5" s="1"/>
      <c r="M5" s="1"/>
      <c r="N5" s="1"/>
      <c r="O5" s="1"/>
      <c r="P5" s="1"/>
    </row>
    <row r="6" spans="1:16" ht="40.5">
      <c r="A6" s="9" t="s">
        <v>11</v>
      </c>
      <c r="B6" s="10" t="s">
        <v>12</v>
      </c>
      <c r="C6" s="11" t="s">
        <v>13</v>
      </c>
      <c r="D6" s="12" t="s">
        <v>14</v>
      </c>
      <c r="E6" s="9" t="s">
        <v>15</v>
      </c>
      <c r="F6" s="13" t="s">
        <v>16</v>
      </c>
      <c r="G6" s="14" t="s">
        <v>17</v>
      </c>
      <c r="H6" s="15" t="s">
        <v>18</v>
      </c>
      <c r="I6" s="1"/>
      <c r="J6" s="1"/>
      <c r="K6" s="1"/>
      <c r="L6" s="1"/>
      <c r="M6" s="1"/>
      <c r="N6" s="1"/>
      <c r="O6" s="1"/>
      <c r="P6" s="1"/>
    </row>
    <row r="7" spans="1:16" ht="20.25">
      <c r="A7" s="35">
        <v>1</v>
      </c>
      <c r="B7" s="16" t="s">
        <v>19</v>
      </c>
      <c r="C7" s="46">
        <v>281737</v>
      </c>
      <c r="D7" s="30"/>
      <c r="E7" s="30">
        <v>313557</v>
      </c>
      <c r="F7" s="45">
        <v>265000</v>
      </c>
      <c r="G7" s="30">
        <v>156778.5</v>
      </c>
      <c r="H7" s="44"/>
      <c r="I7" s="1"/>
      <c r="J7" s="1"/>
      <c r="K7" s="1"/>
      <c r="L7" s="1"/>
      <c r="M7" s="1"/>
      <c r="N7" s="1"/>
      <c r="O7" s="1"/>
      <c r="P7" s="1"/>
    </row>
    <row r="8" spans="1:16" ht="60.75">
      <c r="A8" s="36"/>
      <c r="B8" s="17" t="s">
        <v>20</v>
      </c>
      <c r="C8" s="47"/>
      <c r="D8" s="30"/>
      <c r="E8" s="43"/>
      <c r="F8" s="45"/>
      <c r="G8" s="30"/>
      <c r="H8" s="44"/>
      <c r="I8" s="1"/>
      <c r="J8" s="1"/>
      <c r="K8" s="1"/>
      <c r="L8" s="1"/>
      <c r="M8" s="1"/>
      <c r="N8" s="1"/>
      <c r="O8" s="1"/>
      <c r="P8" s="1"/>
    </row>
    <row r="9" spans="1:16" ht="40.5">
      <c r="A9" s="36"/>
      <c r="B9" s="17" t="s">
        <v>21</v>
      </c>
      <c r="C9" s="47"/>
      <c r="D9" s="30"/>
      <c r="E9" s="43"/>
      <c r="F9" s="45"/>
      <c r="G9" s="30"/>
      <c r="H9" s="44"/>
      <c r="I9" s="1"/>
      <c r="J9" s="1"/>
      <c r="K9" s="1"/>
      <c r="L9" s="1"/>
      <c r="M9" s="1"/>
      <c r="N9" s="1"/>
      <c r="O9" s="1"/>
      <c r="P9" s="2" t="s">
        <v>22</v>
      </c>
    </row>
    <row r="10" spans="1:16" ht="20.25">
      <c r="A10" s="37"/>
      <c r="B10" s="18" t="s">
        <v>23</v>
      </c>
      <c r="C10" s="48"/>
      <c r="D10" s="30"/>
      <c r="E10" s="43"/>
      <c r="F10" s="45"/>
      <c r="G10" s="30"/>
      <c r="H10" s="44"/>
      <c r="I10" s="1"/>
      <c r="J10" s="29">
        <v>229766.5</v>
      </c>
      <c r="K10" s="1"/>
      <c r="L10" s="1"/>
      <c r="M10" s="1"/>
      <c r="N10" s="1"/>
      <c r="O10" s="1"/>
      <c r="P10" s="1"/>
    </row>
    <row r="11" spans="1:16" ht="40.5">
      <c r="A11" s="27"/>
      <c r="B11" s="16" t="s">
        <v>24</v>
      </c>
      <c r="C11" s="30" t="s">
        <v>25</v>
      </c>
      <c r="D11" s="30">
        <v>63484</v>
      </c>
      <c r="E11" s="30">
        <v>63484</v>
      </c>
      <c r="F11" s="45"/>
      <c r="G11" s="30">
        <v>31742</v>
      </c>
      <c r="H11" s="30"/>
      <c r="I11" s="1"/>
      <c r="J11" s="1"/>
      <c r="K11" s="1"/>
      <c r="L11" s="1"/>
      <c r="M11" s="1"/>
      <c r="N11" s="1"/>
      <c r="O11" s="1"/>
      <c r="P11" s="1"/>
    </row>
    <row r="12" spans="1:16" ht="60.75">
      <c r="A12" s="27"/>
      <c r="B12" s="17" t="s">
        <v>20</v>
      </c>
      <c r="C12" s="30"/>
      <c r="D12" s="30"/>
      <c r="E12" s="30"/>
      <c r="F12" s="45"/>
      <c r="G12" s="30"/>
      <c r="H12" s="30"/>
      <c r="I12" s="1"/>
      <c r="J12" s="1"/>
      <c r="K12" s="1"/>
      <c r="L12" s="1"/>
      <c r="M12" s="1"/>
      <c r="N12" s="1"/>
      <c r="O12" s="1"/>
      <c r="P12" s="1"/>
    </row>
    <row r="13" spans="1:16" ht="40.5">
      <c r="A13" s="27"/>
      <c r="B13" s="17" t="s">
        <v>21</v>
      </c>
      <c r="C13" s="30"/>
      <c r="D13" s="30"/>
      <c r="E13" s="30"/>
      <c r="F13" s="45"/>
      <c r="G13" s="30"/>
      <c r="H13" s="30"/>
      <c r="I13" s="1"/>
      <c r="J13" s="1"/>
      <c r="K13" s="1"/>
      <c r="L13" s="1"/>
      <c r="M13" s="1"/>
      <c r="N13" s="1"/>
      <c r="O13" s="1"/>
      <c r="P13" s="1"/>
    </row>
    <row r="14" spans="1:16" ht="20.25">
      <c r="A14" s="27"/>
      <c r="B14" s="18" t="s">
        <v>23</v>
      </c>
      <c r="C14" s="30"/>
      <c r="D14" s="30"/>
      <c r="E14" s="30"/>
      <c r="F14" s="45"/>
      <c r="G14" s="30"/>
      <c r="H14" s="30"/>
      <c r="I14" s="1"/>
      <c r="J14" s="1"/>
      <c r="K14" s="1"/>
      <c r="L14" s="1"/>
      <c r="M14" s="1"/>
      <c r="N14" s="1"/>
      <c r="O14" s="1"/>
      <c r="P14" s="1"/>
    </row>
    <row r="15" spans="1:16" ht="81">
      <c r="A15" s="27"/>
      <c r="B15" s="16" t="s">
        <v>26</v>
      </c>
      <c r="C15" s="30" t="s">
        <v>25</v>
      </c>
      <c r="D15" s="30">
        <v>82492</v>
      </c>
      <c r="E15" s="30">
        <v>82492</v>
      </c>
      <c r="F15" s="45"/>
      <c r="G15" s="30">
        <v>41246</v>
      </c>
      <c r="H15" s="30"/>
      <c r="I15" s="1"/>
      <c r="J15" s="1"/>
      <c r="K15" s="1"/>
      <c r="L15" s="1"/>
      <c r="M15" s="1"/>
      <c r="N15" s="1"/>
      <c r="O15" s="1"/>
      <c r="P15" s="1"/>
    </row>
    <row r="16" spans="1:16" ht="60.75">
      <c r="A16" s="27"/>
      <c r="B16" s="17" t="s">
        <v>20</v>
      </c>
      <c r="C16" s="30"/>
      <c r="D16" s="30"/>
      <c r="E16" s="30"/>
      <c r="F16" s="45"/>
      <c r="G16" s="30"/>
      <c r="H16" s="30"/>
      <c r="I16" s="1"/>
      <c r="J16" s="1"/>
      <c r="K16" s="1"/>
      <c r="L16" s="1"/>
      <c r="M16" s="1"/>
      <c r="N16" s="1"/>
      <c r="O16" s="1"/>
      <c r="P16" s="1"/>
    </row>
    <row r="17" spans="1:8" ht="40.5">
      <c r="A17" s="27"/>
      <c r="B17" s="17" t="s">
        <v>21</v>
      </c>
      <c r="C17" s="30"/>
      <c r="D17" s="30"/>
      <c r="E17" s="30"/>
      <c r="F17" s="45"/>
      <c r="G17" s="30"/>
      <c r="H17" s="30"/>
    </row>
    <row r="18" spans="1:8" ht="20.25">
      <c r="A18" s="27"/>
      <c r="B18" s="18" t="s">
        <v>23</v>
      </c>
      <c r="C18" s="30"/>
      <c r="D18" s="30"/>
      <c r="E18" s="30"/>
      <c r="F18" s="45"/>
      <c r="G18" s="30"/>
      <c r="H18" s="30"/>
    </row>
    <row r="19" spans="1:8" ht="40.5">
      <c r="A19" s="35">
        <v>2</v>
      </c>
      <c r="B19" s="16" t="s">
        <v>27</v>
      </c>
      <c r="C19" s="30">
        <v>68000</v>
      </c>
      <c r="D19" s="30">
        <v>0</v>
      </c>
      <c r="E19" s="30">
        <v>68000</v>
      </c>
      <c r="F19" s="30">
        <v>68000</v>
      </c>
      <c r="G19" s="30">
        <v>68000</v>
      </c>
      <c r="H19" s="34"/>
    </row>
    <row r="20" spans="1:8" ht="60.75">
      <c r="A20" s="36"/>
      <c r="B20" s="17" t="s">
        <v>20</v>
      </c>
      <c r="C20" s="30"/>
      <c r="D20" s="30"/>
      <c r="E20" s="30"/>
      <c r="F20" s="30"/>
      <c r="G20" s="30"/>
      <c r="H20" s="34"/>
    </row>
    <row r="21" spans="1:8" ht="40.5">
      <c r="A21" s="36"/>
      <c r="B21" s="17" t="s">
        <v>21</v>
      </c>
      <c r="C21" s="30"/>
      <c r="D21" s="30"/>
      <c r="E21" s="30"/>
      <c r="F21" s="30"/>
      <c r="G21" s="30"/>
      <c r="H21" s="34"/>
    </row>
    <row r="22" spans="1:8" ht="20.25">
      <c r="A22" s="37"/>
      <c r="B22" s="18" t="s">
        <v>23</v>
      </c>
      <c r="C22" s="30"/>
      <c r="D22" s="30"/>
      <c r="E22" s="30"/>
      <c r="F22" s="30"/>
      <c r="G22" s="30"/>
      <c r="H22" s="34"/>
    </row>
    <row r="23" spans="1:8" ht="60.75">
      <c r="A23" s="35">
        <v>3</v>
      </c>
      <c r="B23" s="16" t="s">
        <v>28</v>
      </c>
      <c r="C23" s="30">
        <v>28000</v>
      </c>
      <c r="D23" s="30">
        <v>0</v>
      </c>
      <c r="E23" s="30">
        <v>28000</v>
      </c>
      <c r="F23" s="30">
        <v>28000</v>
      </c>
      <c r="G23" s="22"/>
      <c r="H23" s="34"/>
    </row>
    <row r="24" spans="1:8" ht="60.75">
      <c r="A24" s="36"/>
      <c r="B24" s="17" t="s">
        <v>20</v>
      </c>
      <c r="C24" s="30"/>
      <c r="D24" s="30"/>
      <c r="E24" s="30"/>
      <c r="F24" s="30"/>
      <c r="G24" s="22">
        <v>14000</v>
      </c>
      <c r="H24" s="34"/>
    </row>
    <row r="25" spans="1:8" ht="40.5">
      <c r="A25" s="36"/>
      <c r="B25" s="17" t="s">
        <v>21</v>
      </c>
      <c r="C25" s="30"/>
      <c r="D25" s="30"/>
      <c r="E25" s="30"/>
      <c r="F25" s="30"/>
      <c r="G25" s="22"/>
      <c r="H25" s="34"/>
    </row>
    <row r="26" spans="1:8" ht="21">
      <c r="A26" s="37"/>
      <c r="B26" s="18" t="s">
        <v>23</v>
      </c>
      <c r="C26" s="30"/>
      <c r="D26" s="30"/>
      <c r="E26" s="30"/>
      <c r="F26" s="30"/>
      <c r="G26" s="22"/>
      <c r="H26" s="34"/>
    </row>
    <row r="27" spans="1:8" ht="21">
      <c r="A27" s="19"/>
      <c r="B27" s="20"/>
      <c r="C27" s="21">
        <v>409557</v>
      </c>
      <c r="D27" s="22">
        <v>145976</v>
      </c>
      <c r="E27" s="22">
        <v>555533</v>
      </c>
      <c r="F27" s="22">
        <v>361000</v>
      </c>
      <c r="G27" s="22">
        <v>311766.5</v>
      </c>
      <c r="H27" s="23"/>
    </row>
    <row r="28" spans="1:8" ht="21">
      <c r="A28" s="4"/>
      <c r="B28" s="33" t="s">
        <v>29</v>
      </c>
      <c r="C28" s="33"/>
      <c r="D28" s="24">
        <v>130000</v>
      </c>
      <c r="E28" s="4"/>
      <c r="F28" s="4"/>
      <c r="G28" s="4"/>
      <c r="H28" s="4"/>
    </row>
    <row r="29" spans="1:8" ht="21">
      <c r="A29" s="4"/>
      <c r="B29" s="33" t="s">
        <v>30</v>
      </c>
      <c r="C29" s="33"/>
      <c r="D29" s="24">
        <v>311766.5</v>
      </c>
      <c r="E29" s="4"/>
      <c r="F29" s="4"/>
      <c r="G29" s="4"/>
      <c r="H29" s="4"/>
    </row>
    <row r="30" spans="1:8" ht="21">
      <c r="A30" s="4"/>
      <c r="B30" s="33" t="s">
        <v>23</v>
      </c>
      <c r="C30" s="33"/>
      <c r="D30" s="24">
        <v>446766.5</v>
      </c>
      <c r="E30" s="4"/>
      <c r="F30" s="4"/>
      <c r="G30" s="4"/>
      <c r="H30" s="4"/>
    </row>
    <row r="31" spans="1:8" ht="21">
      <c r="A31" s="4"/>
      <c r="B31" s="33" t="s">
        <v>31</v>
      </c>
      <c r="C31" s="33"/>
      <c r="D31" s="24">
        <v>409557</v>
      </c>
      <c r="E31" s="4"/>
      <c r="F31" s="4"/>
      <c r="G31" s="4"/>
      <c r="H31" s="4"/>
    </row>
    <row r="32" spans="1:8" ht="21">
      <c r="A32" s="4"/>
      <c r="B32" s="33" t="s">
        <v>32</v>
      </c>
      <c r="C32" s="33"/>
      <c r="D32" s="24">
        <v>37209.5</v>
      </c>
      <c r="E32" s="4"/>
      <c r="F32" s="4"/>
      <c r="G32" s="4"/>
      <c r="H32" s="4"/>
    </row>
    <row r="33" spans="1:8" ht="20.25">
      <c r="A33" s="31" t="s">
        <v>33</v>
      </c>
      <c r="B33" s="31"/>
      <c r="C33" s="31"/>
      <c r="D33" s="31"/>
      <c r="E33" s="31"/>
      <c r="F33" s="31"/>
      <c r="G33" s="31"/>
      <c r="H33" s="31"/>
    </row>
    <row r="34" spans="1:8" ht="21">
      <c r="A34" s="3" t="s">
        <v>34</v>
      </c>
      <c r="B34" s="3"/>
      <c r="C34" s="7"/>
      <c r="D34" s="26">
        <v>446766.5</v>
      </c>
      <c r="E34" s="3" t="s">
        <v>35</v>
      </c>
      <c r="F34" s="3"/>
      <c r="G34" s="25">
        <v>409557</v>
      </c>
      <c r="H34" s="3" t="s">
        <v>36</v>
      </c>
    </row>
    <row r="35" spans="1:8" ht="21">
      <c r="A35" s="3" t="s">
        <v>37</v>
      </c>
      <c r="B35" s="26">
        <v>37209.5</v>
      </c>
      <c r="C35" s="32" t="s">
        <v>38</v>
      </c>
      <c r="D35" s="32"/>
      <c r="E35" s="32"/>
      <c r="F35" s="32"/>
      <c r="G35" s="32"/>
      <c r="H35" s="32"/>
    </row>
    <row r="36" spans="1:8" ht="21">
      <c r="A36" s="3" t="s">
        <v>39</v>
      </c>
      <c r="B36" s="3"/>
      <c r="C36" s="7" t="s">
        <v>40</v>
      </c>
      <c r="D36" s="4"/>
      <c r="E36" s="3"/>
      <c r="F36" s="3"/>
      <c r="G36" s="3"/>
      <c r="H36" s="3"/>
    </row>
  </sheetData>
  <mergeCells count="41">
    <mergeCell ref="H15:H18"/>
    <mergeCell ref="D15:D18"/>
    <mergeCell ref="E15:E18"/>
    <mergeCell ref="G15:G18"/>
    <mergeCell ref="A19:A22"/>
    <mergeCell ref="C19:C22"/>
    <mergeCell ref="D19:D22"/>
    <mergeCell ref="E19:E22"/>
    <mergeCell ref="F19:F22"/>
    <mergeCell ref="A1:H1"/>
    <mergeCell ref="F3:G3"/>
    <mergeCell ref="F4:G4"/>
    <mergeCell ref="A5:B5"/>
    <mergeCell ref="A7:A10"/>
    <mergeCell ref="D7:D10"/>
    <mergeCell ref="E7:E10"/>
    <mergeCell ref="G7:G10"/>
    <mergeCell ref="H7:H10"/>
    <mergeCell ref="F7:F18"/>
    <mergeCell ref="C11:C14"/>
    <mergeCell ref="D11:D14"/>
    <mergeCell ref="E11:E14"/>
    <mergeCell ref="G11:G14"/>
    <mergeCell ref="C7:C10"/>
    <mergeCell ref="C15:C18"/>
    <mergeCell ref="H11:H14"/>
    <mergeCell ref="A33:H33"/>
    <mergeCell ref="C35:H35"/>
    <mergeCell ref="B28:C28"/>
    <mergeCell ref="B29:C29"/>
    <mergeCell ref="B30:C30"/>
    <mergeCell ref="B31:C31"/>
    <mergeCell ref="B32:C32"/>
    <mergeCell ref="G19:G22"/>
    <mergeCell ref="H19:H22"/>
    <mergeCell ref="H23:H26"/>
    <mergeCell ref="A23:A26"/>
    <mergeCell ref="C23:C26"/>
    <mergeCell ref="D23:D26"/>
    <mergeCell ref="E23:E26"/>
    <mergeCell ref="F23:F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6"/>
  <sheetViews>
    <sheetView workbookViewId="0">
      <selection sqref="A1:H1"/>
    </sheetView>
  </sheetViews>
  <sheetFormatPr defaultRowHeight="15"/>
  <cols>
    <col min="1" max="1" width="9.140625" style="1"/>
    <col min="2" max="2" width="13" style="1" bestFit="1" customWidth="1"/>
    <col min="3" max="3" width="14.7109375" style="1" bestFit="1" customWidth="1"/>
    <col min="4" max="4" width="15.140625" style="1" customWidth="1"/>
    <col min="5" max="5" width="18.28515625" style="1" customWidth="1"/>
    <col min="6" max="7" width="14.7109375" style="1" bestFit="1" customWidth="1"/>
    <col min="8" max="16384" width="9.140625" style="1"/>
  </cols>
  <sheetData>
    <row r="1" spans="1:16" ht="20.25">
      <c r="A1" s="38" t="s">
        <v>0</v>
      </c>
      <c r="B1" s="38"/>
      <c r="C1" s="38"/>
      <c r="D1" s="38"/>
      <c r="E1" s="38"/>
      <c r="F1" s="38"/>
      <c r="G1" s="38"/>
      <c r="H1" s="38"/>
    </row>
    <row r="2" spans="1:16" ht="21">
      <c r="A2" s="3" t="s">
        <v>1</v>
      </c>
      <c r="B2" s="3"/>
      <c r="C2" s="3" t="s">
        <v>45</v>
      </c>
      <c r="D2" s="3" t="s">
        <v>2</v>
      </c>
      <c r="E2" s="4"/>
      <c r="F2" s="3" t="s">
        <v>46</v>
      </c>
      <c r="G2" s="3"/>
      <c r="H2" s="4"/>
    </row>
    <row r="3" spans="1:16" ht="40.5">
      <c r="A3" s="5" t="s">
        <v>3</v>
      </c>
      <c r="B3" s="5" t="s">
        <v>43</v>
      </c>
      <c r="C3" s="6" t="s">
        <v>4</v>
      </c>
      <c r="D3" s="5" t="s">
        <v>44</v>
      </c>
      <c r="E3" s="5" t="s">
        <v>5</v>
      </c>
      <c r="F3" s="39" t="s">
        <v>6</v>
      </c>
      <c r="G3" s="39"/>
      <c r="H3" s="4"/>
    </row>
    <row r="4" spans="1:16" ht="21">
      <c r="A4" s="3" t="s">
        <v>7</v>
      </c>
      <c r="B4" s="3" t="s">
        <v>8</v>
      </c>
      <c r="C4" s="7" t="s">
        <v>9</v>
      </c>
      <c r="D4" s="4">
        <v>115</v>
      </c>
      <c r="E4" s="4"/>
      <c r="F4" s="40"/>
      <c r="G4" s="40"/>
      <c r="H4" s="4"/>
    </row>
    <row r="5" spans="1:16" ht="21">
      <c r="A5" s="41" t="s">
        <v>10</v>
      </c>
      <c r="B5" s="42"/>
      <c r="C5" s="28">
        <v>130000</v>
      </c>
      <c r="D5" s="4"/>
      <c r="E5" s="4"/>
      <c r="F5" s="8"/>
      <c r="G5" s="8"/>
      <c r="H5" s="4"/>
    </row>
    <row r="6" spans="1:16" ht="40.5">
      <c r="A6" s="9" t="s">
        <v>11</v>
      </c>
      <c r="B6" s="10" t="s">
        <v>12</v>
      </c>
      <c r="C6" s="11" t="s">
        <v>13</v>
      </c>
      <c r="D6" s="12" t="s">
        <v>14</v>
      </c>
      <c r="E6" s="9" t="s">
        <v>15</v>
      </c>
      <c r="F6" s="13" t="s">
        <v>16</v>
      </c>
      <c r="G6" s="14" t="s">
        <v>17</v>
      </c>
      <c r="H6" s="15" t="s">
        <v>18</v>
      </c>
    </row>
    <row r="7" spans="1:16" ht="20.25">
      <c r="A7" s="35">
        <v>1</v>
      </c>
      <c r="B7" s="16" t="s">
        <v>19</v>
      </c>
      <c r="C7" s="46">
        <v>281371</v>
      </c>
      <c r="D7" s="30"/>
      <c r="E7" s="30">
        <f>C7</f>
        <v>281371</v>
      </c>
      <c r="F7" s="45">
        <v>265000</v>
      </c>
      <c r="G7" s="30">
        <v>156778.5</v>
      </c>
      <c r="H7" s="44"/>
    </row>
    <row r="8" spans="1:16" ht="60.75">
      <c r="A8" s="36"/>
      <c r="B8" s="17" t="s">
        <v>20</v>
      </c>
      <c r="C8" s="47"/>
      <c r="D8" s="30"/>
      <c r="E8" s="43"/>
      <c r="F8" s="45"/>
      <c r="G8" s="30"/>
      <c r="H8" s="44"/>
    </row>
    <row r="9" spans="1:16" ht="40.5">
      <c r="A9" s="36"/>
      <c r="B9" s="17" t="s">
        <v>21</v>
      </c>
      <c r="C9" s="47"/>
      <c r="D9" s="30"/>
      <c r="E9" s="43"/>
      <c r="F9" s="45"/>
      <c r="G9" s="30"/>
      <c r="H9" s="44"/>
      <c r="P9" s="2" t="s">
        <v>22</v>
      </c>
    </row>
    <row r="10" spans="1:16" ht="20.25">
      <c r="A10" s="37"/>
      <c r="B10" s="18" t="s">
        <v>23</v>
      </c>
      <c r="C10" s="48"/>
      <c r="D10" s="30"/>
      <c r="E10" s="43"/>
      <c r="F10" s="45"/>
      <c r="G10" s="30"/>
      <c r="H10" s="44"/>
      <c r="J10" s="29"/>
    </row>
    <row r="11" spans="1:16" ht="40.5">
      <c r="A11" s="27"/>
      <c r="B11" s="16" t="s">
        <v>24</v>
      </c>
      <c r="C11" s="30" t="s">
        <v>25</v>
      </c>
      <c r="D11" s="30">
        <v>63484</v>
      </c>
      <c r="E11" s="30">
        <v>63484</v>
      </c>
      <c r="F11" s="45"/>
      <c r="G11" s="30">
        <v>31742</v>
      </c>
      <c r="H11" s="30"/>
    </row>
    <row r="12" spans="1:16" ht="60.75">
      <c r="A12" s="27"/>
      <c r="B12" s="17" t="s">
        <v>20</v>
      </c>
      <c r="C12" s="30"/>
      <c r="D12" s="30"/>
      <c r="E12" s="30"/>
      <c r="F12" s="45"/>
      <c r="G12" s="30"/>
      <c r="H12" s="30"/>
    </row>
    <row r="13" spans="1:16" ht="40.5">
      <c r="A13" s="27"/>
      <c r="B13" s="17" t="s">
        <v>21</v>
      </c>
      <c r="C13" s="30"/>
      <c r="D13" s="30"/>
      <c r="E13" s="30"/>
      <c r="F13" s="45"/>
      <c r="G13" s="30"/>
      <c r="H13" s="30"/>
    </row>
    <row r="14" spans="1:16" ht="20.25">
      <c r="A14" s="27"/>
      <c r="B14" s="18" t="s">
        <v>23</v>
      </c>
      <c r="C14" s="30"/>
      <c r="D14" s="30"/>
      <c r="E14" s="30"/>
      <c r="F14" s="45"/>
      <c r="G14" s="30"/>
      <c r="H14" s="30"/>
    </row>
    <row r="15" spans="1:16" ht="81">
      <c r="A15" s="27"/>
      <c r="B15" s="16" t="s">
        <v>26</v>
      </c>
      <c r="C15" s="30" t="s">
        <v>25</v>
      </c>
      <c r="D15" s="30">
        <v>82492</v>
      </c>
      <c r="E15" s="30">
        <v>82492</v>
      </c>
      <c r="F15" s="45"/>
      <c r="G15" s="30">
        <v>41246</v>
      </c>
      <c r="H15" s="30"/>
    </row>
    <row r="16" spans="1:16" ht="60.75">
      <c r="A16" s="27"/>
      <c r="B16" s="17" t="s">
        <v>20</v>
      </c>
      <c r="C16" s="30"/>
      <c r="D16" s="30"/>
      <c r="E16" s="30"/>
      <c r="F16" s="45"/>
      <c r="G16" s="30"/>
      <c r="H16" s="30"/>
    </row>
    <row r="17" spans="1:8" ht="40.5">
      <c r="A17" s="27"/>
      <c r="B17" s="17" t="s">
        <v>21</v>
      </c>
      <c r="C17" s="30"/>
      <c r="D17" s="30"/>
      <c r="E17" s="30"/>
      <c r="F17" s="45"/>
      <c r="G17" s="30"/>
      <c r="H17" s="30"/>
    </row>
    <row r="18" spans="1:8" ht="20.25">
      <c r="A18" s="27"/>
      <c r="B18" s="18" t="s">
        <v>23</v>
      </c>
      <c r="C18" s="30"/>
      <c r="D18" s="30"/>
      <c r="E18" s="30"/>
      <c r="F18" s="45"/>
      <c r="G18" s="30"/>
      <c r="H18" s="30"/>
    </row>
    <row r="19" spans="1:8" ht="40.5">
      <c r="A19" s="35">
        <v>2</v>
      </c>
      <c r="B19" s="16" t="s">
        <v>27</v>
      </c>
      <c r="C19" s="30">
        <v>68000</v>
      </c>
      <c r="D19" s="30">
        <v>0</v>
      </c>
      <c r="E19" s="30">
        <v>68000</v>
      </c>
      <c r="F19" s="30">
        <v>68000</v>
      </c>
      <c r="G19" s="30">
        <v>68000</v>
      </c>
      <c r="H19" s="34"/>
    </row>
    <row r="20" spans="1:8" ht="60.75">
      <c r="A20" s="36"/>
      <c r="B20" s="17" t="s">
        <v>20</v>
      </c>
      <c r="C20" s="30"/>
      <c r="D20" s="30"/>
      <c r="E20" s="30"/>
      <c r="F20" s="30"/>
      <c r="G20" s="30"/>
      <c r="H20" s="34"/>
    </row>
    <row r="21" spans="1:8" ht="40.5">
      <c r="A21" s="36"/>
      <c r="B21" s="17" t="s">
        <v>21</v>
      </c>
      <c r="C21" s="30"/>
      <c r="D21" s="30"/>
      <c r="E21" s="30"/>
      <c r="F21" s="30"/>
      <c r="G21" s="30"/>
      <c r="H21" s="34"/>
    </row>
    <row r="22" spans="1:8" ht="20.25">
      <c r="A22" s="37"/>
      <c r="B22" s="18" t="s">
        <v>23</v>
      </c>
      <c r="C22" s="30"/>
      <c r="D22" s="30"/>
      <c r="E22" s="30"/>
      <c r="F22" s="30"/>
      <c r="G22" s="30"/>
      <c r="H22" s="34"/>
    </row>
    <row r="23" spans="1:8" ht="60.75">
      <c r="A23" s="35">
        <v>3</v>
      </c>
      <c r="B23" s="16" t="s">
        <v>28</v>
      </c>
      <c r="C23" s="30">
        <v>28000</v>
      </c>
      <c r="D23" s="30">
        <v>0</v>
      </c>
      <c r="E23" s="30">
        <v>28000</v>
      </c>
      <c r="F23" s="30">
        <v>28000</v>
      </c>
      <c r="G23" s="22"/>
      <c r="H23" s="34"/>
    </row>
    <row r="24" spans="1:8" ht="60.75">
      <c r="A24" s="36"/>
      <c r="B24" s="17" t="s">
        <v>20</v>
      </c>
      <c r="C24" s="30"/>
      <c r="D24" s="30"/>
      <c r="E24" s="30"/>
      <c r="F24" s="30"/>
      <c r="G24" s="22">
        <v>14000</v>
      </c>
      <c r="H24" s="34"/>
    </row>
    <row r="25" spans="1:8" ht="40.5">
      <c r="A25" s="36"/>
      <c r="B25" s="17" t="s">
        <v>21</v>
      </c>
      <c r="C25" s="30"/>
      <c r="D25" s="30"/>
      <c r="E25" s="30"/>
      <c r="F25" s="30"/>
      <c r="G25" s="22"/>
      <c r="H25" s="34"/>
    </row>
    <row r="26" spans="1:8" ht="21">
      <c r="A26" s="37"/>
      <c r="B26" s="18" t="s">
        <v>23</v>
      </c>
      <c r="C26" s="30"/>
      <c r="D26" s="30"/>
      <c r="E26" s="30"/>
      <c r="F26" s="30"/>
      <c r="G26" s="22"/>
      <c r="H26" s="34"/>
    </row>
    <row r="27" spans="1:8" ht="21">
      <c r="A27" s="19"/>
      <c r="B27" s="20"/>
      <c r="C27" s="21">
        <v>409557</v>
      </c>
      <c r="D27" s="22">
        <v>145976</v>
      </c>
      <c r="E27" s="22">
        <v>555533</v>
      </c>
      <c r="F27" s="22">
        <v>361000</v>
      </c>
      <c r="G27" s="22">
        <v>311766.5</v>
      </c>
      <c r="H27" s="23"/>
    </row>
    <row r="28" spans="1:8" ht="21">
      <c r="A28" s="4"/>
      <c r="B28" s="33" t="s">
        <v>29</v>
      </c>
      <c r="C28" s="33"/>
      <c r="D28" s="24">
        <v>130000</v>
      </c>
      <c r="E28" s="4"/>
      <c r="F28" s="4"/>
      <c r="G28" s="4"/>
      <c r="H28" s="4"/>
    </row>
    <row r="29" spans="1:8" ht="21">
      <c r="A29" s="4"/>
      <c r="B29" s="33" t="s">
        <v>30</v>
      </c>
      <c r="C29" s="33"/>
      <c r="D29" s="24">
        <v>311766.5</v>
      </c>
      <c r="E29" s="4"/>
      <c r="F29" s="4"/>
      <c r="G29" s="4"/>
      <c r="H29" s="4"/>
    </row>
    <row r="30" spans="1:8" ht="21">
      <c r="A30" s="4"/>
      <c r="B30" s="33" t="s">
        <v>23</v>
      </c>
      <c r="C30" s="33"/>
      <c r="D30" s="24">
        <v>446766.5</v>
      </c>
      <c r="E30" s="4"/>
      <c r="F30" s="4"/>
      <c r="G30" s="4"/>
      <c r="H30" s="4"/>
    </row>
    <row r="31" spans="1:8" ht="21">
      <c r="A31" s="4"/>
      <c r="B31" s="33" t="s">
        <v>31</v>
      </c>
      <c r="C31" s="33"/>
      <c r="D31" s="24">
        <v>409557</v>
      </c>
      <c r="E31" s="4"/>
      <c r="F31" s="4"/>
      <c r="G31" s="4"/>
      <c r="H31" s="4"/>
    </row>
    <row r="32" spans="1:8" ht="21">
      <c r="A32" s="4"/>
      <c r="B32" s="33" t="s">
        <v>32</v>
      </c>
      <c r="C32" s="33"/>
      <c r="D32" s="24">
        <v>37209.5</v>
      </c>
      <c r="E32" s="4"/>
      <c r="F32" s="4"/>
      <c r="G32" s="4"/>
      <c r="H32" s="4"/>
    </row>
    <row r="33" spans="1:8" ht="20.25">
      <c r="A33" s="31" t="s">
        <v>33</v>
      </c>
      <c r="B33" s="31"/>
      <c r="C33" s="31"/>
      <c r="D33" s="31"/>
      <c r="E33" s="31"/>
      <c r="F33" s="31"/>
      <c r="G33" s="31"/>
      <c r="H33" s="31"/>
    </row>
    <row r="34" spans="1:8" ht="21">
      <c r="A34" s="3" t="s">
        <v>34</v>
      </c>
      <c r="B34" s="3"/>
      <c r="C34" s="7"/>
      <c r="D34" s="26">
        <v>446766.5</v>
      </c>
      <c r="E34" s="3" t="s">
        <v>35</v>
      </c>
      <c r="F34" s="3"/>
      <c r="G34" s="25">
        <v>409557</v>
      </c>
      <c r="H34" s="3" t="s">
        <v>36</v>
      </c>
    </row>
    <row r="35" spans="1:8" ht="21">
      <c r="A35" s="3" t="s">
        <v>37</v>
      </c>
      <c r="B35" s="26">
        <v>37209.5</v>
      </c>
      <c r="C35" s="32" t="s">
        <v>38</v>
      </c>
      <c r="D35" s="32"/>
      <c r="E35" s="32"/>
      <c r="F35" s="32"/>
      <c r="G35" s="32"/>
      <c r="H35" s="32"/>
    </row>
    <row r="36" spans="1:8" ht="21">
      <c r="A36" s="3" t="s">
        <v>39</v>
      </c>
      <c r="B36" s="3"/>
      <c r="C36" s="7" t="s">
        <v>40</v>
      </c>
      <c r="D36" s="4"/>
      <c r="E36" s="3"/>
      <c r="F36" s="3"/>
      <c r="G36" s="3"/>
      <c r="H36" s="3"/>
    </row>
  </sheetData>
  <mergeCells count="41">
    <mergeCell ref="C35:H35"/>
    <mergeCell ref="B28:C28"/>
    <mergeCell ref="B29:C29"/>
    <mergeCell ref="B30:C30"/>
    <mergeCell ref="B31:C31"/>
    <mergeCell ref="B32:C32"/>
    <mergeCell ref="A33:H33"/>
    <mergeCell ref="G19:G22"/>
    <mergeCell ref="H19:H22"/>
    <mergeCell ref="A23:A26"/>
    <mergeCell ref="C23:C26"/>
    <mergeCell ref="D23:D26"/>
    <mergeCell ref="E23:E26"/>
    <mergeCell ref="F23:F26"/>
    <mergeCell ref="H23:H26"/>
    <mergeCell ref="A19:A22"/>
    <mergeCell ref="C19:C22"/>
    <mergeCell ref="D19:D22"/>
    <mergeCell ref="E19:E22"/>
    <mergeCell ref="F19:F22"/>
    <mergeCell ref="C15:C18"/>
    <mergeCell ref="D15:D18"/>
    <mergeCell ref="E15:E18"/>
    <mergeCell ref="G15:G18"/>
    <mergeCell ref="H15:H18"/>
    <mergeCell ref="A1:H1"/>
    <mergeCell ref="F3:G3"/>
    <mergeCell ref="F4:G4"/>
    <mergeCell ref="A5:B5"/>
    <mergeCell ref="A7:A10"/>
    <mergeCell ref="C7:C10"/>
    <mergeCell ref="D7:D10"/>
    <mergeCell ref="E7:E10"/>
    <mergeCell ref="F7:F18"/>
    <mergeCell ref="G7:G10"/>
    <mergeCell ref="H7:H10"/>
    <mergeCell ref="C11:C14"/>
    <mergeCell ref="D11:D14"/>
    <mergeCell ref="E11:E14"/>
    <mergeCell ref="G11:G14"/>
    <mergeCell ref="H11:H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36"/>
  <sheetViews>
    <sheetView workbookViewId="0">
      <selection sqref="A1:H1"/>
    </sheetView>
  </sheetViews>
  <sheetFormatPr defaultColWidth="12.42578125" defaultRowHeight="15"/>
  <cols>
    <col min="1" max="1" width="10.85546875" style="1" customWidth="1"/>
    <col min="2" max="2" width="17.85546875" style="1" customWidth="1"/>
    <col min="3" max="3" width="16.42578125" style="1" customWidth="1"/>
    <col min="4" max="4" width="14.42578125" style="1" customWidth="1"/>
    <col min="5" max="5" width="15.5703125" style="1" customWidth="1"/>
    <col min="6" max="6" width="15.140625" style="1" customWidth="1"/>
    <col min="7" max="7" width="14.5703125" style="1" customWidth="1"/>
    <col min="8" max="16384" width="12.42578125" style="1"/>
  </cols>
  <sheetData>
    <row r="1" spans="1:16" ht="20.25">
      <c r="A1" s="38" t="s">
        <v>0</v>
      </c>
      <c r="B1" s="38"/>
      <c r="C1" s="38"/>
      <c r="D1" s="38"/>
      <c r="E1" s="38"/>
      <c r="F1" s="38"/>
      <c r="G1" s="38"/>
      <c r="H1" s="38"/>
    </row>
    <row r="2" spans="1:16" ht="21">
      <c r="A2" s="3" t="s">
        <v>1</v>
      </c>
      <c r="B2" s="3"/>
      <c r="C2" s="3" t="s">
        <v>47</v>
      </c>
      <c r="D2" s="3" t="s">
        <v>2</v>
      </c>
      <c r="E2" s="4"/>
      <c r="F2" s="3" t="s">
        <v>48</v>
      </c>
      <c r="G2" s="3"/>
      <c r="H2" s="4"/>
    </row>
    <row r="3" spans="1:16" ht="21">
      <c r="A3" s="5" t="s">
        <v>3</v>
      </c>
      <c r="B3" s="5" t="s">
        <v>43</v>
      </c>
      <c r="C3" s="6" t="s">
        <v>4</v>
      </c>
      <c r="D3" s="5" t="s">
        <v>44</v>
      </c>
      <c r="E3" s="5" t="s">
        <v>5</v>
      </c>
      <c r="F3" s="39" t="s">
        <v>6</v>
      </c>
      <c r="G3" s="39"/>
      <c r="H3" s="4"/>
    </row>
    <row r="4" spans="1:16" ht="21">
      <c r="A4" s="3" t="s">
        <v>7</v>
      </c>
      <c r="B4" s="3" t="s">
        <v>8</v>
      </c>
      <c r="C4" s="7" t="s">
        <v>9</v>
      </c>
      <c r="D4" s="4">
        <v>174</v>
      </c>
      <c r="E4" s="4"/>
      <c r="F4" s="40"/>
      <c r="G4" s="40"/>
      <c r="H4" s="4"/>
    </row>
    <row r="5" spans="1:16" ht="21">
      <c r="A5" s="41" t="s">
        <v>10</v>
      </c>
      <c r="B5" s="42"/>
      <c r="C5" s="28">
        <v>130000</v>
      </c>
      <c r="D5" s="4"/>
      <c r="E5" s="4"/>
      <c r="F5" s="8"/>
      <c r="G5" s="8"/>
      <c r="H5" s="4"/>
    </row>
    <row r="6" spans="1:16" ht="40.5">
      <c r="A6" s="9" t="s">
        <v>11</v>
      </c>
      <c r="B6" s="10" t="s">
        <v>12</v>
      </c>
      <c r="C6" s="11" t="s">
        <v>13</v>
      </c>
      <c r="D6" s="12" t="s">
        <v>14</v>
      </c>
      <c r="E6" s="9" t="s">
        <v>15</v>
      </c>
      <c r="F6" s="13" t="s">
        <v>16</v>
      </c>
      <c r="G6" s="14" t="s">
        <v>17</v>
      </c>
      <c r="H6" s="15" t="s">
        <v>18</v>
      </c>
    </row>
    <row r="7" spans="1:16" ht="20.25">
      <c r="A7" s="35">
        <v>1</v>
      </c>
      <c r="B7" s="16" t="s">
        <v>19</v>
      </c>
      <c r="C7" s="46">
        <v>281371</v>
      </c>
      <c r="D7" s="30"/>
      <c r="E7" s="30">
        <f>C7</f>
        <v>281371</v>
      </c>
      <c r="F7" s="45">
        <v>265000</v>
      </c>
      <c r="G7" s="30">
        <v>156778.5</v>
      </c>
      <c r="H7" s="44"/>
    </row>
    <row r="8" spans="1:16" ht="40.5">
      <c r="A8" s="36"/>
      <c r="B8" s="17" t="s">
        <v>20</v>
      </c>
      <c r="C8" s="47"/>
      <c r="D8" s="30"/>
      <c r="E8" s="43"/>
      <c r="F8" s="45"/>
      <c r="G8" s="30"/>
      <c r="H8" s="44"/>
    </row>
    <row r="9" spans="1:16" ht="20.25">
      <c r="A9" s="36"/>
      <c r="B9" s="17" t="s">
        <v>21</v>
      </c>
      <c r="C9" s="47"/>
      <c r="D9" s="30"/>
      <c r="E9" s="43"/>
      <c r="F9" s="45"/>
      <c r="G9" s="30"/>
      <c r="H9" s="44"/>
      <c r="P9" s="2" t="s">
        <v>22</v>
      </c>
    </row>
    <row r="10" spans="1:16" ht="20.25">
      <c r="A10" s="37"/>
      <c r="B10" s="18" t="s">
        <v>23</v>
      </c>
      <c r="C10" s="48"/>
      <c r="D10" s="30"/>
      <c r="E10" s="43"/>
      <c r="F10" s="45"/>
      <c r="G10" s="30"/>
      <c r="H10" s="44"/>
      <c r="J10" s="29"/>
    </row>
    <row r="11" spans="1:16" ht="40.5">
      <c r="A11" s="27"/>
      <c r="B11" s="16" t="s">
        <v>24</v>
      </c>
      <c r="C11" s="30" t="s">
        <v>25</v>
      </c>
      <c r="D11" s="30">
        <v>63484</v>
      </c>
      <c r="E11" s="30">
        <v>63484</v>
      </c>
      <c r="F11" s="45"/>
      <c r="G11" s="30">
        <v>31742</v>
      </c>
      <c r="H11" s="30"/>
    </row>
    <row r="12" spans="1:16" ht="40.5">
      <c r="A12" s="27"/>
      <c r="B12" s="17" t="s">
        <v>20</v>
      </c>
      <c r="C12" s="30"/>
      <c r="D12" s="30"/>
      <c r="E12" s="30"/>
      <c r="F12" s="45"/>
      <c r="G12" s="30"/>
      <c r="H12" s="30"/>
    </row>
    <row r="13" spans="1:16" ht="20.25">
      <c r="A13" s="27"/>
      <c r="B13" s="17" t="s">
        <v>21</v>
      </c>
      <c r="C13" s="30"/>
      <c r="D13" s="30"/>
      <c r="E13" s="30"/>
      <c r="F13" s="45"/>
      <c r="G13" s="30"/>
      <c r="H13" s="30"/>
    </row>
    <row r="14" spans="1:16" ht="20.25">
      <c r="A14" s="27"/>
      <c r="B14" s="18" t="s">
        <v>23</v>
      </c>
      <c r="C14" s="30"/>
      <c r="D14" s="30"/>
      <c r="E14" s="30"/>
      <c r="F14" s="45"/>
      <c r="G14" s="30"/>
      <c r="H14" s="30"/>
    </row>
    <row r="15" spans="1:16" ht="60.75">
      <c r="A15" s="27"/>
      <c r="B15" s="16" t="s">
        <v>26</v>
      </c>
      <c r="C15" s="30" t="s">
        <v>25</v>
      </c>
      <c r="D15" s="30">
        <v>82492</v>
      </c>
      <c r="E15" s="30">
        <v>82492</v>
      </c>
      <c r="F15" s="45"/>
      <c r="G15" s="30">
        <v>41246</v>
      </c>
      <c r="H15" s="30"/>
    </row>
    <row r="16" spans="1:16" ht="40.5">
      <c r="A16" s="27"/>
      <c r="B16" s="17" t="s">
        <v>20</v>
      </c>
      <c r="C16" s="30"/>
      <c r="D16" s="30"/>
      <c r="E16" s="30"/>
      <c r="F16" s="45"/>
      <c r="G16" s="30"/>
      <c r="H16" s="30"/>
    </row>
    <row r="17" spans="1:8" ht="20.25">
      <c r="A17" s="27"/>
      <c r="B17" s="17" t="s">
        <v>21</v>
      </c>
      <c r="C17" s="30"/>
      <c r="D17" s="30"/>
      <c r="E17" s="30"/>
      <c r="F17" s="45"/>
      <c r="G17" s="30"/>
      <c r="H17" s="30"/>
    </row>
    <row r="18" spans="1:8" ht="20.25">
      <c r="A18" s="27"/>
      <c r="B18" s="18" t="s">
        <v>23</v>
      </c>
      <c r="C18" s="30"/>
      <c r="D18" s="30"/>
      <c r="E18" s="30"/>
      <c r="F18" s="45"/>
      <c r="G18" s="30"/>
      <c r="H18" s="30"/>
    </row>
    <row r="19" spans="1:8" ht="40.5">
      <c r="A19" s="35">
        <v>2</v>
      </c>
      <c r="B19" s="16" t="s">
        <v>27</v>
      </c>
      <c r="C19" s="30">
        <v>68000</v>
      </c>
      <c r="D19" s="30">
        <v>0</v>
      </c>
      <c r="E19" s="30">
        <v>68000</v>
      </c>
      <c r="F19" s="30">
        <v>68000</v>
      </c>
      <c r="G19" s="30">
        <v>68000</v>
      </c>
      <c r="H19" s="34"/>
    </row>
    <row r="20" spans="1:8" ht="40.5">
      <c r="A20" s="36"/>
      <c r="B20" s="17" t="s">
        <v>20</v>
      </c>
      <c r="C20" s="30"/>
      <c r="D20" s="30"/>
      <c r="E20" s="30"/>
      <c r="F20" s="30"/>
      <c r="G20" s="30"/>
      <c r="H20" s="34"/>
    </row>
    <row r="21" spans="1:8" ht="20.25">
      <c r="A21" s="36"/>
      <c r="B21" s="17" t="s">
        <v>21</v>
      </c>
      <c r="C21" s="30"/>
      <c r="D21" s="30"/>
      <c r="E21" s="30"/>
      <c r="F21" s="30"/>
      <c r="G21" s="30"/>
      <c r="H21" s="34"/>
    </row>
    <row r="22" spans="1:8" ht="20.25">
      <c r="A22" s="37"/>
      <c r="B22" s="18" t="s">
        <v>23</v>
      </c>
      <c r="C22" s="30"/>
      <c r="D22" s="30"/>
      <c r="E22" s="30"/>
      <c r="F22" s="30"/>
      <c r="G22" s="30"/>
      <c r="H22" s="34"/>
    </row>
    <row r="23" spans="1:8" ht="60.75">
      <c r="A23" s="35">
        <v>3</v>
      </c>
      <c r="B23" s="16" t="s">
        <v>28</v>
      </c>
      <c r="C23" s="30">
        <v>28000</v>
      </c>
      <c r="D23" s="30">
        <v>0</v>
      </c>
      <c r="E23" s="30">
        <v>28000</v>
      </c>
      <c r="F23" s="30">
        <v>28000</v>
      </c>
      <c r="G23" s="22"/>
      <c r="H23" s="34"/>
    </row>
    <row r="24" spans="1:8" ht="40.5">
      <c r="A24" s="36"/>
      <c r="B24" s="17" t="s">
        <v>20</v>
      </c>
      <c r="C24" s="30"/>
      <c r="D24" s="30"/>
      <c r="E24" s="30"/>
      <c r="F24" s="30"/>
      <c r="G24" s="22">
        <v>14000</v>
      </c>
      <c r="H24" s="34"/>
    </row>
    <row r="25" spans="1:8" ht="21">
      <c r="A25" s="36"/>
      <c r="B25" s="17" t="s">
        <v>21</v>
      </c>
      <c r="C25" s="30"/>
      <c r="D25" s="30"/>
      <c r="E25" s="30"/>
      <c r="F25" s="30"/>
      <c r="G25" s="22"/>
      <c r="H25" s="34"/>
    </row>
    <row r="26" spans="1:8" ht="21">
      <c r="A26" s="37"/>
      <c r="B26" s="18" t="s">
        <v>23</v>
      </c>
      <c r="C26" s="30"/>
      <c r="D26" s="30"/>
      <c r="E26" s="30"/>
      <c r="F26" s="30"/>
      <c r="G26" s="22"/>
      <c r="H26" s="34"/>
    </row>
    <row r="27" spans="1:8" ht="21">
      <c r="A27" s="19"/>
      <c r="B27" s="20"/>
      <c r="C27" s="21">
        <v>409557</v>
      </c>
      <c r="D27" s="22">
        <v>145976</v>
      </c>
      <c r="E27" s="22">
        <v>555533</v>
      </c>
      <c r="F27" s="22">
        <v>361000</v>
      </c>
      <c r="G27" s="22">
        <v>311766.5</v>
      </c>
      <c r="H27" s="23"/>
    </row>
    <row r="28" spans="1:8" ht="21">
      <c r="A28" s="4"/>
      <c r="B28" s="33" t="s">
        <v>29</v>
      </c>
      <c r="C28" s="33"/>
      <c r="D28" s="24">
        <v>130000</v>
      </c>
      <c r="E28" s="4"/>
      <c r="F28" s="4"/>
      <c r="G28" s="4"/>
      <c r="H28" s="4"/>
    </row>
    <row r="29" spans="1:8" ht="21">
      <c r="A29" s="4"/>
      <c r="B29" s="33" t="s">
        <v>30</v>
      </c>
      <c r="C29" s="33"/>
      <c r="D29" s="24">
        <v>311766.5</v>
      </c>
      <c r="E29" s="4"/>
      <c r="F29" s="4"/>
      <c r="G29" s="4"/>
      <c r="H29" s="4"/>
    </row>
    <row r="30" spans="1:8" ht="21">
      <c r="A30" s="4"/>
      <c r="B30" s="33" t="s">
        <v>23</v>
      </c>
      <c r="C30" s="33"/>
      <c r="D30" s="24">
        <v>446766.5</v>
      </c>
      <c r="E30" s="4"/>
      <c r="F30" s="4"/>
      <c r="G30" s="4"/>
      <c r="H30" s="4"/>
    </row>
    <row r="31" spans="1:8" ht="21">
      <c r="A31" s="4"/>
      <c r="B31" s="33" t="s">
        <v>31</v>
      </c>
      <c r="C31" s="33"/>
      <c r="D31" s="24">
        <v>409557</v>
      </c>
      <c r="E31" s="4"/>
      <c r="F31" s="4"/>
      <c r="G31" s="4"/>
      <c r="H31" s="4"/>
    </row>
    <row r="32" spans="1:8" ht="21">
      <c r="A32" s="4"/>
      <c r="B32" s="33" t="s">
        <v>32</v>
      </c>
      <c r="C32" s="33"/>
      <c r="D32" s="24">
        <v>37209.5</v>
      </c>
      <c r="E32" s="4"/>
      <c r="F32" s="4"/>
      <c r="G32" s="4"/>
      <c r="H32" s="4"/>
    </row>
    <row r="33" spans="1:8" ht="20.25">
      <c r="A33" s="31" t="s">
        <v>33</v>
      </c>
      <c r="B33" s="31"/>
      <c r="C33" s="31"/>
      <c r="D33" s="31"/>
      <c r="E33" s="31"/>
      <c r="F33" s="31"/>
      <c r="G33" s="31"/>
      <c r="H33" s="31"/>
    </row>
    <row r="34" spans="1:8" ht="21">
      <c r="A34" s="3" t="s">
        <v>34</v>
      </c>
      <c r="B34" s="3"/>
      <c r="C34" s="7"/>
      <c r="D34" s="26">
        <v>446766.5</v>
      </c>
      <c r="E34" s="3" t="s">
        <v>35</v>
      </c>
      <c r="F34" s="3"/>
      <c r="G34" s="25">
        <v>409557</v>
      </c>
      <c r="H34" s="3" t="s">
        <v>36</v>
      </c>
    </row>
    <row r="35" spans="1:8" ht="21">
      <c r="A35" s="3" t="s">
        <v>37</v>
      </c>
      <c r="B35" s="26">
        <v>37209.5</v>
      </c>
      <c r="C35" s="32" t="s">
        <v>38</v>
      </c>
      <c r="D35" s="32"/>
      <c r="E35" s="32"/>
      <c r="F35" s="32"/>
      <c r="G35" s="32"/>
      <c r="H35" s="32"/>
    </row>
    <row r="36" spans="1:8" ht="21">
      <c r="A36" s="3" t="s">
        <v>39</v>
      </c>
      <c r="B36" s="3"/>
      <c r="C36" s="7" t="s">
        <v>40</v>
      </c>
      <c r="D36" s="4"/>
      <c r="E36" s="3"/>
      <c r="F36" s="3"/>
      <c r="G36" s="3"/>
      <c r="H36" s="3"/>
    </row>
  </sheetData>
  <mergeCells count="41">
    <mergeCell ref="C35:H35"/>
    <mergeCell ref="B28:C28"/>
    <mergeCell ref="B29:C29"/>
    <mergeCell ref="B30:C30"/>
    <mergeCell ref="B31:C31"/>
    <mergeCell ref="B32:C32"/>
    <mergeCell ref="A33:H33"/>
    <mergeCell ref="G19:G22"/>
    <mergeCell ref="H19:H22"/>
    <mergeCell ref="A23:A26"/>
    <mergeCell ref="C23:C26"/>
    <mergeCell ref="D23:D26"/>
    <mergeCell ref="E23:E26"/>
    <mergeCell ref="F23:F26"/>
    <mergeCell ref="H23:H26"/>
    <mergeCell ref="A19:A22"/>
    <mergeCell ref="C19:C22"/>
    <mergeCell ref="D19:D22"/>
    <mergeCell ref="E19:E22"/>
    <mergeCell ref="F19:F22"/>
    <mergeCell ref="C15:C18"/>
    <mergeCell ref="D15:D18"/>
    <mergeCell ref="E15:E18"/>
    <mergeCell ref="G15:G18"/>
    <mergeCell ref="H15:H18"/>
    <mergeCell ref="A1:H1"/>
    <mergeCell ref="F3:G3"/>
    <mergeCell ref="F4:G4"/>
    <mergeCell ref="A5:B5"/>
    <mergeCell ref="A7:A10"/>
    <mergeCell ref="C7:C10"/>
    <mergeCell ref="D7:D10"/>
    <mergeCell ref="E7:E10"/>
    <mergeCell ref="F7:F18"/>
    <mergeCell ref="G7:G10"/>
    <mergeCell ref="H7:H10"/>
    <mergeCell ref="C11:C14"/>
    <mergeCell ref="D11:D14"/>
    <mergeCell ref="E11:E14"/>
    <mergeCell ref="G11:G14"/>
    <mergeCell ref="H11:H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36"/>
  <sheetViews>
    <sheetView tabSelected="1" topLeftCell="A22" workbookViewId="0">
      <selection activeCell="C35" sqref="C35:H35"/>
    </sheetView>
  </sheetViews>
  <sheetFormatPr defaultColWidth="12.42578125" defaultRowHeight="15"/>
  <cols>
    <col min="1" max="1" width="10.85546875" style="1" customWidth="1"/>
    <col min="2" max="2" width="17.85546875" style="1" customWidth="1"/>
    <col min="3" max="3" width="16.42578125" style="1" customWidth="1"/>
    <col min="4" max="4" width="14.42578125" style="1" customWidth="1"/>
    <col min="5" max="5" width="15.5703125" style="1" customWidth="1"/>
    <col min="6" max="6" width="15.140625" style="1" customWidth="1"/>
    <col min="7" max="7" width="14.5703125" style="1" customWidth="1"/>
    <col min="8" max="16384" width="12.42578125" style="1"/>
  </cols>
  <sheetData>
    <row r="1" spans="1:16" ht="20.25">
      <c r="A1" s="38" t="s">
        <v>0</v>
      </c>
      <c r="B1" s="38"/>
      <c r="C1" s="38"/>
      <c r="D1" s="38"/>
      <c r="E1" s="38"/>
      <c r="F1" s="38"/>
      <c r="G1" s="38"/>
      <c r="H1" s="38"/>
    </row>
    <row r="2" spans="1:16" ht="21">
      <c r="A2" s="3" t="s">
        <v>1</v>
      </c>
      <c r="B2" s="3"/>
      <c r="C2" s="3" t="s">
        <v>49</v>
      </c>
      <c r="D2" s="3" t="s">
        <v>2</v>
      </c>
      <c r="E2" s="4"/>
      <c r="F2" s="3" t="s">
        <v>50</v>
      </c>
      <c r="G2" s="3"/>
      <c r="H2" s="4"/>
    </row>
    <row r="3" spans="1:16" ht="21">
      <c r="A3" s="5" t="s">
        <v>3</v>
      </c>
      <c r="B3" s="5" t="s">
        <v>51</v>
      </c>
      <c r="C3" s="6" t="s">
        <v>4</v>
      </c>
      <c r="D3" s="5" t="s">
        <v>44</v>
      </c>
      <c r="E3" s="5" t="s">
        <v>5</v>
      </c>
      <c r="F3" s="39" t="s">
        <v>6</v>
      </c>
      <c r="G3" s="39"/>
      <c r="H3" s="4"/>
    </row>
    <row r="4" spans="1:16" ht="21">
      <c r="A4" s="3" t="s">
        <v>7</v>
      </c>
      <c r="B4" s="3" t="s">
        <v>8</v>
      </c>
      <c r="C4" s="7" t="s">
        <v>9</v>
      </c>
      <c r="D4" s="4">
        <v>22</v>
      </c>
      <c r="E4" s="4"/>
      <c r="F4" s="40"/>
      <c r="G4" s="40"/>
      <c r="H4" s="4"/>
    </row>
    <row r="5" spans="1:16" ht="21">
      <c r="A5" s="41" t="s">
        <v>10</v>
      </c>
      <c r="B5" s="42"/>
      <c r="C5" s="28">
        <v>130000</v>
      </c>
      <c r="D5" s="4"/>
      <c r="E5" s="4"/>
      <c r="F5" s="8"/>
      <c r="G5" s="8"/>
      <c r="H5" s="4"/>
    </row>
    <row r="6" spans="1:16" ht="40.5">
      <c r="A6" s="9" t="s">
        <v>11</v>
      </c>
      <c r="B6" s="10" t="s">
        <v>12</v>
      </c>
      <c r="C6" s="11" t="s">
        <v>13</v>
      </c>
      <c r="D6" s="12" t="s">
        <v>14</v>
      </c>
      <c r="E6" s="9" t="s">
        <v>15</v>
      </c>
      <c r="F6" s="13" t="s">
        <v>16</v>
      </c>
      <c r="G6" s="14" t="s">
        <v>17</v>
      </c>
      <c r="H6" s="15" t="s">
        <v>18</v>
      </c>
    </row>
    <row r="7" spans="1:16" ht="20.25">
      <c r="A7" s="35">
        <v>1</v>
      </c>
      <c r="B7" s="16" t="s">
        <v>19</v>
      </c>
      <c r="C7" s="46">
        <v>279591</v>
      </c>
      <c r="D7" s="30"/>
      <c r="E7" s="30">
        <f>C7+D7</f>
        <v>279591</v>
      </c>
      <c r="F7" s="45">
        <v>265000</v>
      </c>
      <c r="G7" s="30">
        <v>156778.5</v>
      </c>
      <c r="H7" s="44"/>
    </row>
    <row r="8" spans="1:16" ht="40.5">
      <c r="A8" s="36"/>
      <c r="B8" s="17" t="s">
        <v>20</v>
      </c>
      <c r="C8" s="47"/>
      <c r="D8" s="30"/>
      <c r="E8" s="43"/>
      <c r="F8" s="45"/>
      <c r="G8" s="30"/>
      <c r="H8" s="44"/>
    </row>
    <row r="9" spans="1:16" ht="20.25">
      <c r="A9" s="36"/>
      <c r="B9" s="17" t="s">
        <v>21</v>
      </c>
      <c r="C9" s="47"/>
      <c r="D9" s="30"/>
      <c r="E9" s="43"/>
      <c r="F9" s="45"/>
      <c r="G9" s="30"/>
      <c r="H9" s="44"/>
      <c r="P9" s="2" t="s">
        <v>22</v>
      </c>
    </row>
    <row r="10" spans="1:16" ht="20.25">
      <c r="A10" s="37"/>
      <c r="B10" s="18" t="s">
        <v>23</v>
      </c>
      <c r="C10" s="48"/>
      <c r="D10" s="30"/>
      <c r="E10" s="43"/>
      <c r="F10" s="45"/>
      <c r="G10" s="30"/>
      <c r="H10" s="44"/>
      <c r="J10" s="29"/>
    </row>
    <row r="11" spans="1:16" ht="40.5">
      <c r="A11" s="27"/>
      <c r="B11" s="16" t="s">
        <v>24</v>
      </c>
      <c r="C11" s="30" t="s">
        <v>25</v>
      </c>
      <c r="D11" s="30">
        <v>68140</v>
      </c>
      <c r="E11" s="30">
        <f>D11</f>
        <v>68140</v>
      </c>
      <c r="F11" s="45"/>
      <c r="G11" s="30">
        <f>E11/2</f>
        <v>34070</v>
      </c>
      <c r="H11" s="30"/>
    </row>
    <row r="12" spans="1:16" ht="40.5">
      <c r="A12" s="27"/>
      <c r="B12" s="17" t="s">
        <v>20</v>
      </c>
      <c r="C12" s="30"/>
      <c r="D12" s="30"/>
      <c r="E12" s="30"/>
      <c r="F12" s="45"/>
      <c r="G12" s="30"/>
      <c r="H12" s="30"/>
    </row>
    <row r="13" spans="1:16" ht="20.25">
      <c r="A13" s="27"/>
      <c r="B13" s="17" t="s">
        <v>21</v>
      </c>
      <c r="C13" s="30"/>
      <c r="D13" s="30"/>
      <c r="E13" s="30"/>
      <c r="F13" s="45"/>
      <c r="G13" s="30"/>
      <c r="H13" s="30"/>
    </row>
    <row r="14" spans="1:16" ht="20.25">
      <c r="A14" s="27"/>
      <c r="B14" s="18" t="s">
        <v>23</v>
      </c>
      <c r="C14" s="30"/>
      <c r="D14" s="30"/>
      <c r="E14" s="30"/>
      <c r="F14" s="45"/>
      <c r="G14" s="30"/>
      <c r="H14" s="30"/>
    </row>
    <row r="15" spans="1:16" ht="60.75">
      <c r="A15" s="27"/>
      <c r="B15" s="16" t="s">
        <v>26</v>
      </c>
      <c r="C15" s="30" t="s">
        <v>25</v>
      </c>
      <c r="D15" s="30">
        <v>137512</v>
      </c>
      <c r="E15" s="30">
        <f>D15</f>
        <v>137512</v>
      </c>
      <c r="F15" s="45"/>
      <c r="G15" s="30">
        <f>E15/2</f>
        <v>68756</v>
      </c>
      <c r="H15" s="30"/>
    </row>
    <row r="16" spans="1:16" ht="40.5">
      <c r="A16" s="27"/>
      <c r="B16" s="17" t="s">
        <v>20</v>
      </c>
      <c r="C16" s="30"/>
      <c r="D16" s="30"/>
      <c r="E16" s="30"/>
      <c r="F16" s="45"/>
      <c r="G16" s="30"/>
      <c r="H16" s="30"/>
    </row>
    <row r="17" spans="1:8" ht="20.25">
      <c r="A17" s="27"/>
      <c r="B17" s="17" t="s">
        <v>21</v>
      </c>
      <c r="C17" s="30"/>
      <c r="D17" s="30"/>
      <c r="E17" s="30"/>
      <c r="F17" s="45"/>
      <c r="G17" s="30"/>
      <c r="H17" s="30"/>
    </row>
    <row r="18" spans="1:8" ht="20.25">
      <c r="A18" s="27"/>
      <c r="B18" s="18" t="s">
        <v>23</v>
      </c>
      <c r="C18" s="30"/>
      <c r="D18" s="30"/>
      <c r="E18" s="30"/>
      <c r="F18" s="45"/>
      <c r="G18" s="30"/>
      <c r="H18" s="30"/>
    </row>
    <row r="19" spans="1:8" ht="40.5">
      <c r="A19" s="35">
        <v>2</v>
      </c>
      <c r="B19" s="16" t="s">
        <v>27</v>
      </c>
      <c r="C19" s="30">
        <v>68000</v>
      </c>
      <c r="D19" s="30">
        <v>0</v>
      </c>
      <c r="E19" s="30">
        <v>68000</v>
      </c>
      <c r="F19" s="30">
        <v>68000</v>
      </c>
      <c r="G19" s="30">
        <v>68000</v>
      </c>
      <c r="H19" s="34"/>
    </row>
    <row r="20" spans="1:8" ht="40.5">
      <c r="A20" s="36"/>
      <c r="B20" s="17" t="s">
        <v>20</v>
      </c>
      <c r="C20" s="30"/>
      <c r="D20" s="30"/>
      <c r="E20" s="30"/>
      <c r="F20" s="30"/>
      <c r="G20" s="30"/>
      <c r="H20" s="34"/>
    </row>
    <row r="21" spans="1:8" ht="20.25">
      <c r="A21" s="36"/>
      <c r="B21" s="17" t="s">
        <v>21</v>
      </c>
      <c r="C21" s="30"/>
      <c r="D21" s="30"/>
      <c r="E21" s="30"/>
      <c r="F21" s="30"/>
      <c r="G21" s="30"/>
      <c r="H21" s="34"/>
    </row>
    <row r="22" spans="1:8" ht="20.25">
      <c r="A22" s="37"/>
      <c r="B22" s="18" t="s">
        <v>23</v>
      </c>
      <c r="C22" s="30"/>
      <c r="D22" s="30"/>
      <c r="E22" s="30"/>
      <c r="F22" s="30"/>
      <c r="G22" s="30"/>
      <c r="H22" s="34"/>
    </row>
    <row r="23" spans="1:8" ht="60.75">
      <c r="A23" s="35">
        <v>3</v>
      </c>
      <c r="B23" s="16" t="s">
        <v>28</v>
      </c>
      <c r="C23" s="30">
        <v>28000</v>
      </c>
      <c r="D23" s="30">
        <v>0</v>
      </c>
      <c r="E23" s="30">
        <v>28000</v>
      </c>
      <c r="F23" s="30">
        <v>28000</v>
      </c>
      <c r="G23" s="49">
        <v>14000</v>
      </c>
      <c r="H23" s="34"/>
    </row>
    <row r="24" spans="1:8" ht="40.5">
      <c r="A24" s="36"/>
      <c r="B24" s="17" t="s">
        <v>20</v>
      </c>
      <c r="C24" s="30"/>
      <c r="D24" s="30"/>
      <c r="E24" s="30"/>
      <c r="F24" s="30"/>
      <c r="G24" s="50"/>
      <c r="H24" s="34"/>
    </row>
    <row r="25" spans="1:8" ht="21" customHeight="1">
      <c r="A25" s="36"/>
      <c r="B25" s="17" t="s">
        <v>21</v>
      </c>
      <c r="C25" s="30"/>
      <c r="D25" s="30"/>
      <c r="E25" s="30"/>
      <c r="F25" s="30"/>
      <c r="G25" s="50"/>
      <c r="H25" s="34"/>
    </row>
    <row r="26" spans="1:8" ht="21" customHeight="1">
      <c r="A26" s="37"/>
      <c r="B26" s="18" t="s">
        <v>23</v>
      </c>
      <c r="C26" s="30"/>
      <c r="D26" s="30"/>
      <c r="E26" s="30"/>
      <c r="F26" s="30"/>
      <c r="G26" s="51"/>
      <c r="H26" s="34"/>
    </row>
    <row r="27" spans="1:8" ht="21">
      <c r="A27" s="19"/>
      <c r="B27" s="20"/>
      <c r="C27" s="21">
        <f>SUM(C7:C26)</f>
        <v>375591</v>
      </c>
      <c r="D27" s="22">
        <f>D11+D15</f>
        <v>205652</v>
      </c>
      <c r="E27" s="22">
        <f>SUM(E7:E26)</f>
        <v>581243</v>
      </c>
      <c r="F27" s="22">
        <f>F7+F19+F23</f>
        <v>361000</v>
      </c>
      <c r="G27" s="22">
        <f>G7+G11+G15+G19+G23</f>
        <v>341604.5</v>
      </c>
      <c r="H27" s="23"/>
    </row>
    <row r="28" spans="1:8" ht="21">
      <c r="A28" s="4"/>
      <c r="B28" s="33" t="s">
        <v>29</v>
      </c>
      <c r="C28" s="33"/>
      <c r="D28" s="24">
        <v>130000</v>
      </c>
      <c r="E28" s="4"/>
      <c r="F28" s="4"/>
      <c r="G28" s="4"/>
      <c r="H28" s="4"/>
    </row>
    <row r="29" spans="1:8" ht="21">
      <c r="A29" s="4"/>
      <c r="B29" s="33" t="s">
        <v>30</v>
      </c>
      <c r="C29" s="33"/>
      <c r="D29" s="24">
        <f>G27</f>
        <v>341604.5</v>
      </c>
      <c r="E29" s="4"/>
      <c r="F29" s="4"/>
      <c r="G29" s="4"/>
      <c r="H29" s="4"/>
    </row>
    <row r="30" spans="1:8" ht="21">
      <c r="A30" s="4"/>
      <c r="B30" s="33" t="s">
        <v>23</v>
      </c>
      <c r="C30" s="33"/>
      <c r="D30" s="24">
        <f>D29+D28</f>
        <v>471604.5</v>
      </c>
      <c r="E30" s="4"/>
      <c r="F30" s="4"/>
      <c r="G30" s="4"/>
      <c r="H30" s="4"/>
    </row>
    <row r="31" spans="1:8" ht="21">
      <c r="A31" s="4"/>
      <c r="B31" s="33" t="s">
        <v>31</v>
      </c>
      <c r="C31" s="33"/>
      <c r="D31" s="24">
        <f>C27</f>
        <v>375591</v>
      </c>
      <c r="E31" s="4"/>
      <c r="F31" s="4"/>
      <c r="G31" s="4"/>
      <c r="H31" s="4"/>
    </row>
    <row r="32" spans="1:8" ht="21">
      <c r="A32" s="4"/>
      <c r="B32" s="33" t="s">
        <v>32</v>
      </c>
      <c r="C32" s="33"/>
      <c r="D32" s="24">
        <f>D30-D31</f>
        <v>96013.5</v>
      </c>
      <c r="E32" s="4"/>
      <c r="F32" s="4"/>
      <c r="G32" s="4"/>
      <c r="H32" s="4"/>
    </row>
    <row r="33" spans="1:8" ht="20.25">
      <c r="A33" s="31" t="s">
        <v>33</v>
      </c>
      <c r="B33" s="31"/>
      <c r="C33" s="31"/>
      <c r="D33" s="31"/>
      <c r="E33" s="31"/>
      <c r="F33" s="31"/>
      <c r="G33" s="31"/>
      <c r="H33" s="31"/>
    </row>
    <row r="34" spans="1:8" ht="21">
      <c r="A34" s="3" t="s">
        <v>34</v>
      </c>
      <c r="B34" s="3"/>
      <c r="C34" s="7"/>
      <c r="D34" s="26">
        <f>D30</f>
        <v>471604.5</v>
      </c>
      <c r="E34" s="3" t="s">
        <v>35</v>
      </c>
      <c r="F34" s="3"/>
      <c r="G34" s="25">
        <v>409557</v>
      </c>
      <c r="H34" s="3" t="s">
        <v>36</v>
      </c>
    </row>
    <row r="35" spans="1:8" ht="21">
      <c r="A35" s="3" t="s">
        <v>37</v>
      </c>
      <c r="B35" s="26">
        <f>D32</f>
        <v>96013.5</v>
      </c>
      <c r="C35" s="32" t="s">
        <v>38</v>
      </c>
      <c r="D35" s="32"/>
      <c r="E35" s="32"/>
      <c r="F35" s="32"/>
      <c r="G35" s="32"/>
      <c r="H35" s="32"/>
    </row>
    <row r="36" spans="1:8" ht="21">
      <c r="A36" s="3" t="s">
        <v>39</v>
      </c>
      <c r="B36" s="3"/>
      <c r="C36" s="7" t="s">
        <v>40</v>
      </c>
      <c r="D36" s="4"/>
      <c r="E36" s="3"/>
      <c r="F36" s="3"/>
      <c r="G36" s="3"/>
      <c r="H36" s="3"/>
    </row>
  </sheetData>
  <mergeCells count="42">
    <mergeCell ref="C35:H35"/>
    <mergeCell ref="B28:C28"/>
    <mergeCell ref="B29:C29"/>
    <mergeCell ref="B30:C30"/>
    <mergeCell ref="B31:C31"/>
    <mergeCell ref="B32:C32"/>
    <mergeCell ref="A33:H33"/>
    <mergeCell ref="G19:G22"/>
    <mergeCell ref="H19:H22"/>
    <mergeCell ref="A23:A26"/>
    <mergeCell ref="C23:C26"/>
    <mergeCell ref="D23:D26"/>
    <mergeCell ref="E23:E26"/>
    <mergeCell ref="F23:F26"/>
    <mergeCell ref="H23:H26"/>
    <mergeCell ref="A19:A22"/>
    <mergeCell ref="C19:C22"/>
    <mergeCell ref="D19:D22"/>
    <mergeCell ref="E19:E22"/>
    <mergeCell ref="F19:F22"/>
    <mergeCell ref="G23:G26"/>
    <mergeCell ref="C15:C18"/>
    <mergeCell ref="D15:D18"/>
    <mergeCell ref="E15:E18"/>
    <mergeCell ref="G15:G18"/>
    <mergeCell ref="H15:H18"/>
    <mergeCell ref="A1:H1"/>
    <mergeCell ref="F3:G3"/>
    <mergeCell ref="F4:G4"/>
    <mergeCell ref="A5:B5"/>
    <mergeCell ref="A7:A10"/>
    <mergeCell ref="C7:C10"/>
    <mergeCell ref="D7:D10"/>
    <mergeCell ref="E7:E10"/>
    <mergeCell ref="F7:F18"/>
    <mergeCell ref="G7:G10"/>
    <mergeCell ref="H7:H10"/>
    <mergeCell ref="C11:C14"/>
    <mergeCell ref="D11:D14"/>
    <mergeCell ref="E11:E14"/>
    <mergeCell ref="G11:G14"/>
    <mergeCell ref="H11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</dc:creator>
  <cp:lastModifiedBy>DIGI</cp:lastModifiedBy>
  <dcterms:created xsi:type="dcterms:W3CDTF">2026-06-08T07:27:18Z</dcterms:created>
  <dcterms:modified xsi:type="dcterms:W3CDTF">2026-06-29T06:17:30Z</dcterms:modified>
</cp:coreProperties>
</file>